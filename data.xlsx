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df8149087372e428/Desktop/"/>
    </mc:Choice>
  </mc:AlternateContent>
  <xr:revisionPtr revIDLastSave="0" documentId="8_{905BB4B5-B259-1E44-9BFC-CED70792821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<sst xmlns="http://schemas.openxmlformats.org/spreadsheetml/2006/main" count="355" uniqueCount="184">
  <si>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</si>
  <si>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</si>
  <si>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</si>
  <si>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</si>
  <si>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</si>
  <si>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</si>
  <si>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</si>
  <si>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</si>
  <si>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</si>
  <si>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</si>
  <si>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</si>
  <si>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</si>
  <si>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</si>
  <si>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</si>
  <si>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</si>
  <si>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</si>
  <si>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</si>
  <si>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</si>
  <si>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</si>
  <si>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</si>
  <si>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</si>
  <si>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</si>
  <si>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</si>
  <si>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</si>
  <si>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</si>
  <si>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</si>
  <si>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</si>
  <si>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</si>
  <si>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</si>
  <si>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</si>
  <si>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</si>
  <si>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</si>
  <si>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</si>
  <si>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</si>
  <si>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</si>
  <si>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</si>
  <si>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</si>
  <si>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</si>
  <si>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</si>
  <si>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</si>
  <si>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</si>
  <si>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</si>
  <si>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</si>
  <si>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</si>
  <si>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</si>
  <si>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</si>
  <si>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</si>
  <si>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</si>
  <si>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</si>
  <si>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</si>
  <si>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</si>
  <si>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</si>
  <si>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</si>
  <si>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</si>
  <si>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</si>
  <si>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</si>
  <si>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</si>
  <si>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</si>
  <si>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</si>
  <si>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</si>
  <si>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</si>
  <si>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</si>
  <si>
    <t xml:space="preserve">Sundar Lal Saini v. Meena Saini </t>
  </si>
  <si>
    <t>s 125 CrPC</t>
  </si>
  <si>
    <t xml:space="preserve">Whether maintenance was properly assessed for wife and children, including an adult son. </t>
  </si>
  <si>
    <t>court discussed Section 125 relief and parental responsibility for children's education despite majority where financial independence had not been achieved.</t>
  </si>
  <si>
    <t xml:space="preserve">Rajnesh v. Neha </t>
  </si>
  <si>
    <t>https://indiankanoon.org/doc/53119376/</t>
  </si>
  <si>
    <t xml:space="preserve">Urvashi Aggarwal &amp; Ors v. Inderpaul Aggarwal </t>
  </si>
  <si>
    <t>CRL.REV.P 129/2021</t>
  </si>
  <si>
    <t>CRL.REV.P 549/2018</t>
  </si>
  <si>
    <t>Whether the mother could seek contribution to the maintenance and education of a son who had attained majority.</t>
  </si>
  <si>
    <t>The court held that attaining majority does not automatically absolve a father of responsibility for a child's education where the child remains financially dependant; application dismissed.</t>
  </si>
  <si>
    <t>https://indiankanoon.org/doc/132505751/</t>
  </si>
  <si>
    <t xml:space="preserve">Sumairvijay Chandravijay Singh v. Srmiati Preetika Sumairvijay Singh </t>
  </si>
  <si>
    <t>R/SCR.A/7843/2018</t>
  </si>
  <si>
    <t>Whether maintenance granted to wife and children was appropriate.</t>
  </si>
  <si>
    <t>Court considered the maintenance award in light of the parties circumstances and reffered to the governing principles in Rajnesh v. Neha.</t>
  </si>
  <si>
    <t>https://indiankanoon.org/doc/174769190/</t>
  </si>
  <si>
    <t>Amit Sharma v. Shelkka Sharma &amp; Ors.</t>
  </si>
  <si>
    <t>CRL.REV.P.71/2022</t>
  </si>
  <si>
    <t>Whether a revisional court could reassess maintenance and the underlying domestic relationship.</t>
  </si>
  <si>
    <t>Revisional court should not reappreciate evidence as an appellate court; it should focus on material illegality or irregularity and the threshold relationship relevant to maintenance.</t>
  </si>
  <si>
    <t>https://indiankanoon.org/doc/62763004/</t>
  </si>
  <si>
    <t>Sarita Baksshi v. State &amp; Anr.</t>
  </si>
  <si>
    <t>CRL.REV.P. 792/2018</t>
  </si>
  <si>
    <t>Whether maintenance was justified under section 125 and how the provision's social-welfare objective applies.</t>
  </si>
  <si>
    <t>The court explained section 125's object and considered whether the impugned maintenance decsion warranted revisional interferance.</t>
  </si>
  <si>
    <t xml:space="preserve">Babita v. Munna Lal </t>
  </si>
  <si>
    <t>Supreme Court  judgement (2022)</t>
  </si>
  <si>
    <t>What ingredients must be proved for mainenance and Section 125(4) disentitles a wife.</t>
  </si>
  <si>
    <t>The court summarised the statutory requirements, including inability to maintain herself, sufficient means, neglect/refusal and the disqualifications undeer section 125(4)</t>
  </si>
  <si>
    <t>https://indiankanoon.org/doc/153422334/</t>
  </si>
  <si>
    <t>Anju Garg v. Deepak Kumar Garg</t>
  </si>
  <si>
    <t>CRL.REV.P. 1001/2018; 2022/DHC/003778</t>
  </si>
  <si>
    <t xml:space="preserve">Whether maintenance should be denied or limited by the wife's capacity to earn and the husband's financial circumstances. </t>
  </si>
  <si>
    <t>Supreme Court reiterated that a wife's potential earning capacity aone is not the same as actual sufficient income; maintenance mmust be assessed on  evidence and relevant circumstances.</t>
  </si>
  <si>
    <t>https://indiankanoon.org/search/?formInput=Anju%20Garg%20v%20Deepak%20Kumar%20Garg%202022</t>
  </si>
  <si>
    <t>Chanchal Verma v. Anurag verma</t>
  </si>
  <si>
    <t>CRL.REV.P.980/2022</t>
  </si>
  <si>
    <t xml:space="preserve">What foundation requirements must be established for a wife to obtain maintenance. </t>
  </si>
  <si>
    <t>The court restated the requirements for marital relationship, inability to maintain herself, sufficient means and negelct/refusal, read purposively as a social-justice remedy.</t>
  </si>
  <si>
    <t>Vimala v. Veeraswamy; Rajnesh v. Neha</t>
  </si>
  <si>
    <t>https://indiankanoon.org/doc/149232333/</t>
  </si>
  <si>
    <t>Roopa Soni v. Kamalnarayan Soni</t>
  </si>
  <si>
    <t>Supreme Court  judgement (2023)</t>
  </si>
  <si>
    <t>Whether a divorced wife can seek maintenance and the effect of the statutory definition of “wife”</t>
  </si>
  <si>
    <t>Supreme Court interpreted Section 125 beneficially and clarified the availability of maintenance to a divorced wife who has not remarried, subject to statutory requirements.</t>
  </si>
  <si>
    <t>Badshah v. Urmila Badshah Godse; Rajnesh v. Neha</t>
  </si>
  <si>
    <t>https://indiankanoon.org/search/?formInput=Roopa%20Soni%20v%20Kamalnarayan%20Soni</t>
  </si>
  <si>
    <t>Mohammad Faruq &amp; Ors. v. Salima</t>
  </si>
  <si>
    <t>RPFC No. 200027/2022; NC:2023:KHC-K:7024</t>
  </si>
  <si>
    <t>Whether a stepmother can claim maintenance from her stepson under Section 125.</t>
  </si>
  <si>
    <t>The court held that the term “mother” in Section 125 includes a stepmother; the relevant question is whether the parent is unable to maintain herself.</t>
  </si>
  <si>
    <t>Text of s 125 CrPC</t>
  </si>
  <si>
    <t>https://indiankanoon.org/doc/197756255/</t>
  </si>
  <si>
    <t>Mr. Kunwer Fahmed Alam Ariyana v. Ms. Mamtesh Alam v. Mamtesh</t>
  </si>
  <si>
    <t>CRL.REV.P. 1334/2024</t>
  </si>
  <si>
    <t>Whether a wife’s reconversion from Islam disentitles her from maintenance under Section 125.</t>
  </si>
  <si>
    <t>The court considered whether apostasy/reconversion disentitles a wife from maintenance and examined the award to the wife and minor child.</t>
  </si>
  <si>
    <t>Shah Bano; relevant Section 125 authorities</t>
  </si>
  <si>
    <t>https://indiankanoon.org/doc/191893615/</t>
  </si>
  <si>
    <t>Mohd. Abdul Samad v. State of Telangana</t>
  </si>
  <si>
    <t>Criminal Appeal No. 2842 of 2024; 2024 INSC 506</t>
  </si>
  <si>
    <t>Whether a divorced Muslim woman can claim maintenance under Section 125 CrPC despite the 1986 Act.</t>
  </si>
  <si>
    <t>Supreme Court held that the remedy under Section 125 CrPC remains available to a divorced Muslim woman; the 1986 Act does not extinguish this secular remedy.</t>
  </si>
  <si>
    <t>Shah Bano; Danial Latifi</t>
  </si>
  <si>
    <t>https://indiankanoon.org/search/?formInput=Mohd%20Abdul%20Samad%20State%20of%20Telangana%2010%20July%202024</t>
  </si>
  <si>
    <t>X v. Y</t>
  </si>
  <si>
    <t xml:space="preserve">Supreme Court judgment, </t>
  </si>
  <si>
    <t>How maintenance proceedings under Section 125 interact with other matrimonial proceedings and remedies.</t>
  </si>
  <si>
    <t>The Court considered the parties’ matrimonial dispute alongside a Section 125 maintenance claim; consult the linked judgment for the precise operative directions.</t>
  </si>
  <si>
    <t>Rajnesh v. Neha</t>
  </si>
  <si>
    <t>https://indiankanoon.org/search/?formInput=%22X%20vs%20Y%22%20%228%20July%2C%202024%22%20Section%20125</t>
  </si>
  <si>
    <t>Parveen Kumar v. State of Himachal Pradesh</t>
  </si>
  <si>
    <t>Supreme Court judgment</t>
  </si>
  <si>
    <t>Whether maintenance proceedings and related historical matrimonial litigation justified interference with the order under challenge.</t>
  </si>
  <si>
    <t>Supreme Court considered the Section 125 proceeding within a long-running matrimonial dispute; outcome should be coded against the operative order in the full judgment.</t>
  </si>
  <si>
    <t>https://indiankanoon.org/search/?formInput=Parveen%20Kumar%20State%20of%20Himachal%20Pradesh%2023%20September%202024</t>
  </si>
  <si>
    <t>Akanksha Arora v. Tanay Maben</t>
  </si>
  <si>
    <t>SLP (Crl.) No(s). 15909 of 2023</t>
  </si>
  <si>
    <t>Whether interim maintenance fixed by the Family Court required interference.</t>
  </si>
  <si>
    <t>Supreme Court dealt with a challenge arising from interim maintenance fixed in Section 125 proceedings; operative order should be checked before coding final outcome.</t>
  </si>
  <si>
    <t>https://indiankanoon.org/search/?formInput=Akanksha%20Arora%20Tanay%20Maben%204%20December%202024</t>
  </si>
  <si>
    <t>Rina Kumari/ Rina Devi/ Reena v. Dinesh Kumar Mahto/Dinesh Kumar Mahato</t>
  </si>
  <si>
    <t>2025 INSC 55; Criminal Appeal arising from SLP (Crl.) No. 10991 of 2018</t>
  </si>
  <si>
    <t>Whether a wife’s refusal to comply with a decree for restitution of conjugal rights automatically bars maintenance under Section 125(4).</t>
  </si>
  <si>
    <t>Supreme Court examined the Section 125(4) bar and the circumstances in which a wife may be denied maintenance; a restitution decree alone does not automatically resolve the statutory inquiry.</t>
  </si>
  <si>
    <t>Section 125(4) CrPC; prior Section 488 cases</t>
  </si>
  <si>
    <t>https://indiankanoon.org/search/?formInput=Rina%20Kumari%20Dinesh%20Kumar%20Mahto%2010%20January%202025</t>
  </si>
  <si>
    <t>Sukhdev Singh v. Sukhbir Kaur</t>
  </si>
  <si>
    <t>Supreme Court judgment, 12-02-2025</t>
  </si>
  <si>
    <t>Neha Lal v. Abhishek Kumar</t>
  </si>
  <si>
    <t>Shephali Chakraborty v. State of West Bengal</t>
  </si>
  <si>
    <t>Sujata Kumari v. Rahul Kumar</t>
  </si>
  <si>
    <t>Supreme Court judgment, 20-01-2026</t>
  </si>
  <si>
    <t>2026 INSC 621</t>
  </si>
  <si>
    <t>Criminal Appeal (arising out of SLP (Crl.) No. 9661 of 2026)</t>
  </si>
  <si>
    <t>12-02-2025</t>
  </si>
  <si>
    <t>20-01-2026</t>
  </si>
  <si>
    <t>03-06-2026</t>
  </si>
  <si>
    <t>20-08-2026</t>
  </si>
  <si>
    <t>partly allowed</t>
  </si>
  <si>
    <t>Relationship between the summary maintenance remedy and a wife’s separate statutory maintenance remedy.</t>
  </si>
  <si>
    <t>Whether the Section 125 maintenance dispute and related matrimonial proceedings required further directions.</t>
  </si>
  <si>
    <t>How the social-welfare purpose of Section 125 compares with other statutory frameworks.</t>
  </si>
  <si>
    <t>Whether the revisional court could reduce interim maintenance without a proper finding that the original amount was perverse or excessive.</t>
  </si>
  <si>
    <t>Supreme Court discussed the summary and efficacious nature of Section 125 proceedings alongside maintenance under the Hindu Adoptions and Maintenance Act; include as related only insofar as the judgment substantively discusses Section 125.</t>
  </si>
  <si>
    <t>Supreme Court addressed a maintenance claim filed under Section 125 and the related proceedings; confirm the exact final relief from the full order before coding the outcome.</t>
  </si>
  <si>
    <t>Supreme Court described Section 125 proceedings as an ex ante social-welfare measure intended to prevent destitution and protect the dignity of dependants.</t>
  </si>
  <si>
    <t>Supreme Court considered limits on interference with interim maintenance and the need for reasons before reducing the amount fixed by the Family Court.</t>
  </si>
  <si>
    <t>Bhuwan Mohan Singh v. Meena</t>
  </si>
  <si>
    <t>https://indiankanoon.org/search/?formInput=Sukhdev%20Singh%20v%20Sukhbir%20Kaur%2012%20February%202025</t>
  </si>
  <si>
    <t>https://indiankanoon.org/search/?formInput=Neha%20Lal%20Abhishek%20Kumar%2020%20January%202026</t>
  </si>
  <si>
    <t>https://api.sci.gov.in/supremecourt/2025/24523/24523_2025_5_1501_71708_Judgement_03-Jun-2026.pdf</t>
  </si>
  <si>
    <t>https://indiankanoon.org/search/?formInput=Sujata%20Kumari%20Rahul%20Kumar%2020%20August%202026</t>
  </si>
  <si>
    <t>Research update</t>
  </si>
  <si>
    <t>Maintenance under Section 125 CrPC (01-09-2021 to 31-08-2026)</t>
  </si>
  <si>
    <t>Supreme Court of India and High Courts of India</t>
  </si>
  <si>
    <t>"Code and Counsel"</t>
  </si>
  <si>
    <t>Aanya Upadhyay; Section 'D'; prn: 23010422078</t>
  </si>
  <si>
    <t>Arya Sanjay Raut; Section 'D'; prn: 23010422093</t>
  </si>
  <si>
    <t>Khyati Sharma; Section 'D'; prn: 23010422109</t>
  </si>
  <si>
    <t>Yash Jalonha; Section 'D'; prn: 23010422150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</si>
</sst>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2"/>
      <color rgb="FF1B243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5A6472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5" fillId="3" borderId="0" xfId="0" applyFont="1" applyFill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14" fontId="10" fillId="2" borderId="1" xfId="0" applyNumberFormat="1" applyFont="1" applyFill="1" applyBorder="1" applyAlignment="1">
      <alignment horizontal="left"/>
    </xf>
    <xf numFmtId="0" fontId="11" fillId="0" borderId="0" xfId="0" applyFont="1"/>
    <xf numFmtId="0" fontId="12" fillId="3" borderId="0" xfId="0" applyFont="1" applyFill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0" borderId="0" xfId="0" applyFont="1"/>
    <xf numFmtId="0" fontId="10" fillId="2" borderId="1" xfId="0" applyFont="1" applyFill="1" applyBorder="1" applyAlignment="1">
      <alignment vertical="top" wrapText="1"/>
    </xf>
    <xf numFmtId="14" fontId="10" fillId="2" borderId="1" xfId="0" applyNumberFormat="1" applyFont="1" applyFill="1" applyBorder="1" applyAlignment="1">
      <alignment vertical="top" wrapText="1"/>
    </xf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workbookViewId="0">
      <selection activeCell="B21" sqref="B21"/>
    </sheetView>
  </sheetViews>
  <sheetFormatPr defaultColWidth="8.875" defaultRowHeight="15" x14ac:dyDescent="0.2"/>
  <cols>
    <col min="1" max="1" width="2.95703125" customWidth="1"/>
    <col min="2" max="2" width="105.0625" customWidth="1"/>
  </cols>
  <sheetData>
    <row r="2" spans="2:2" ht="36" customHeight="1" x14ac:dyDescent="0.25">
      <c r="B2" s="1" t="s">
        <v>0</v>
      </c>
    </row>
    <row r="3" spans="2:2" ht="15.95" customHeight="1" x14ac:dyDescent="0.2">
      <c r="B3" s="2"/>
    </row>
    <row r="4" spans="2:2" ht="18" customHeight="1" x14ac:dyDescent="0.2">
      <c r="B4" s="3" t="s">
        <v>1</v>
      </c>
    </row>
    <row r="5" spans="2:2" ht="15.95" customHeight="1" x14ac:dyDescent="0.2">
      <c r="B5" s="4" t="s">
        <v>2</v>
      </c>
    </row>
    <row r="6" spans="2:2" ht="30" customHeight="1" x14ac:dyDescent="0.2">
      <c r="B6" s="8" t="s">
        <v>60</v>
      </c>
    </row>
    <row r="7" spans="2:2" ht="30" customHeight="1" x14ac:dyDescent="0.2">
      <c r="B7" s="4" t="s">
        <v>3</v>
      </c>
    </row>
    <row r="8" spans="2:2" ht="30" customHeight="1" x14ac:dyDescent="0.2">
      <c r="B8" s="8" t="s">
        <v>61</v>
      </c>
    </row>
    <row r="9" spans="2:2" ht="15.95" customHeight="1" x14ac:dyDescent="0.2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workbookViewId="0">
      <selection activeCell="F8" sqref="F8"/>
    </sheetView>
  </sheetViews>
  <sheetFormatPr defaultColWidth="8.875" defaultRowHeight="14.25" x14ac:dyDescent="0.15"/>
  <cols>
    <col min="1" max="1" width="2.95703125" style="10" customWidth="1"/>
    <col min="2" max="2" width="32.015625" style="10" customWidth="1"/>
    <col min="3" max="3" width="50.04296875" style="10" customWidth="1"/>
    <col min="4" max="16384" width="8.875" style="10"/>
  </cols>
  <sheetData>
    <row r="2" spans="2:4" x14ac:dyDescent="0.15">
      <c r="B2" s="9" t="s">
        <v>5</v>
      </c>
    </row>
    <row r="4" spans="2:4" ht="15" x14ac:dyDescent="0.2">
      <c r="B4" s="11" t="s">
        <v>6</v>
      </c>
      <c r="C4" s="12" t="s">
        <v>177</v>
      </c>
      <c r="D4"/>
    </row>
    <row r="5" spans="2:4" x14ac:dyDescent="0.15">
      <c r="B5" s="11" t="s">
        <v>7</v>
      </c>
      <c r="C5" s="12" t="s">
        <v>178</v>
      </c>
    </row>
    <row r="6" spans="2:4" x14ac:dyDescent="0.15">
      <c r="B6" s="11" t="s">
        <v>8</v>
      </c>
      <c r="C6" s="12" t="s">
        <v>179</v>
      </c>
    </row>
    <row r="7" spans="2:4" x14ac:dyDescent="0.15">
      <c r="B7" s="11" t="s">
        <v>9</v>
      </c>
      <c r="C7" s="12"/>
    </row>
    <row r="8" spans="2:4" x14ac:dyDescent="0.15">
      <c r="B8" s="11" t="s">
        <v>10</v>
      </c>
      <c r="C8" s="12" t="s">
        <v>180</v>
      </c>
    </row>
    <row r="9" spans="2:4" x14ac:dyDescent="0.15">
      <c r="B9" s="11" t="s">
        <v>11</v>
      </c>
      <c r="C9" s="12" t="s">
        <v>181</v>
      </c>
    </row>
    <row r="10" spans="2:4" x14ac:dyDescent="0.15">
      <c r="B10" s="11" t="s">
        <v>12</v>
      </c>
      <c r="C10" s="12" t="s">
        <v>182</v>
      </c>
    </row>
    <row r="11" spans="2:4" x14ac:dyDescent="0.15">
      <c r="B11" s="11" t="s">
        <v>13</v>
      </c>
      <c r="C11" s="12" t="s">
        <v>183</v>
      </c>
    </row>
    <row r="12" spans="2:4" x14ac:dyDescent="0.15">
      <c r="B12" s="11" t="s">
        <v>14</v>
      </c>
      <c r="C12" s="13">
        <v>46325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zoomScale="55" workbookViewId="0">
      <pane xSplit="2" ySplit="4" topLeftCell="C21" activePane="bottomRight" state="frozen"/>
      <selection pane="bottomLeft"/>
      <selection pane="topRight"/>
      <selection pane="bottomRight" activeCell="H11" sqref="H11"/>
    </sheetView>
  </sheetViews>
  <sheetFormatPr defaultColWidth="8.875" defaultRowHeight="14.25" x14ac:dyDescent="0.15"/>
  <cols>
    <col min="1" max="1" width="4.03515625" style="10" customWidth="1"/>
    <col min="2" max="2" width="32.015625" style="10" customWidth="1"/>
    <col min="3" max="3" width="22.05859375" style="10" customWidth="1"/>
    <col min="4" max="4" width="13.98828125" style="10" customWidth="1"/>
    <col min="5" max="5" width="6.9921875" style="10" customWidth="1"/>
    <col min="6" max="6" width="7.93359375" style="10" customWidth="1"/>
    <col min="7" max="7" width="16.0078125" style="10" customWidth="1"/>
    <col min="8" max="8" width="20.04296875" style="10" customWidth="1"/>
    <col min="9" max="9" width="13.98828125" style="10" customWidth="1"/>
    <col min="10" max="10" width="20.04296875" style="10" customWidth="1"/>
    <col min="11" max="11" width="18.0234375" style="10" customWidth="1"/>
    <col min="12" max="13" width="39.953125" style="10" customWidth="1"/>
    <col min="14" max="14" width="27.98046875" style="10" customWidth="1"/>
    <col min="15" max="15" width="29.99609375" style="10" customWidth="1"/>
    <col min="16" max="16" width="16.0078125" style="10" customWidth="1"/>
    <col min="17" max="16384" width="8.875" style="10"/>
  </cols>
  <sheetData>
    <row r="1" spans="1:16" x14ac:dyDescent="0.15">
      <c r="A1" s="9" t="s">
        <v>15</v>
      </c>
    </row>
    <row r="2" spans="1:16" x14ac:dyDescent="0.15">
      <c r="A2" s="14" t="s">
        <v>16</v>
      </c>
    </row>
    <row r="4" spans="1:16" ht="36" customHeight="1" x14ac:dyDescent="0.15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  <c r="I4" s="15" t="s">
        <v>25</v>
      </c>
      <c r="J4" s="15" t="s">
        <v>26</v>
      </c>
      <c r="K4" s="15" t="s">
        <v>27</v>
      </c>
      <c r="L4" s="15" t="s">
        <v>28</v>
      </c>
      <c r="M4" s="15" t="s">
        <v>29</v>
      </c>
      <c r="N4" s="15" t="s">
        <v>30</v>
      </c>
      <c r="O4" s="15" t="s">
        <v>31</v>
      </c>
      <c r="P4" s="15" t="s">
        <v>32</v>
      </c>
    </row>
    <row r="5" spans="1:16" ht="45" customHeight="1" x14ac:dyDescent="0.15">
      <c r="A5" s="16" t="s">
        <v>33</v>
      </c>
      <c r="B5" s="16" t="s">
        <v>34</v>
      </c>
      <c r="C5" s="16" t="s">
        <v>35</v>
      </c>
      <c r="D5" s="16" t="s">
        <v>36</v>
      </c>
      <c r="E5" s="16">
        <v>2024</v>
      </c>
      <c r="F5" s="16">
        <v>2</v>
      </c>
      <c r="G5" s="16" t="s">
        <v>37</v>
      </c>
      <c r="H5" s="16" t="s">
        <v>38</v>
      </c>
      <c r="I5" s="16" t="s">
        <v>39</v>
      </c>
      <c r="J5" s="16" t="s">
        <v>38</v>
      </c>
      <c r="K5" s="16" t="s">
        <v>40</v>
      </c>
      <c r="L5" s="16" t="s">
        <v>41</v>
      </c>
      <c r="M5" s="16" t="s">
        <v>42</v>
      </c>
      <c r="N5" s="16" t="s">
        <v>43</v>
      </c>
      <c r="O5" s="16" t="s">
        <v>44</v>
      </c>
      <c r="P5" s="16" t="s">
        <v>45</v>
      </c>
    </row>
    <row r="6" spans="1:16" ht="39.950000000000003" customHeight="1" x14ac:dyDescent="0.15">
      <c r="A6" s="17">
        <v>1</v>
      </c>
      <c r="B6" s="18" t="s">
        <v>62</v>
      </c>
      <c r="C6" s="19" t="s">
        <v>69</v>
      </c>
      <c r="D6" s="19">
        <v>44509</v>
      </c>
      <c r="E6" s="18">
        <v>2021</v>
      </c>
      <c r="F6" s="18">
        <v>1</v>
      </c>
      <c r="G6" s="18" t="s">
        <v>37</v>
      </c>
      <c r="H6" s="18" t="s">
        <v>38</v>
      </c>
      <c r="I6" s="18" t="s">
        <v>50</v>
      </c>
      <c r="J6" s="18" t="s">
        <v>55</v>
      </c>
      <c r="K6" s="18" t="s">
        <v>63</v>
      </c>
      <c r="L6" s="18" t="s">
        <v>64</v>
      </c>
      <c r="M6" s="18" t="s">
        <v>65</v>
      </c>
      <c r="N6" s="18" t="s">
        <v>66</v>
      </c>
      <c r="O6" s="18" t="s">
        <v>67</v>
      </c>
      <c r="P6" s="18" t="s">
        <v>176</v>
      </c>
    </row>
    <row r="7" spans="1:16" ht="39.950000000000003" customHeight="1" x14ac:dyDescent="0.15">
      <c r="A7" s="17">
        <v>2</v>
      </c>
      <c r="B7" s="18" t="s">
        <v>68</v>
      </c>
      <c r="C7" s="18" t="s">
        <v>70</v>
      </c>
      <c r="D7" s="19">
        <v>44474</v>
      </c>
      <c r="E7" s="18">
        <v>2021</v>
      </c>
      <c r="F7" s="18">
        <v>1</v>
      </c>
      <c r="G7" s="18" t="s">
        <v>37</v>
      </c>
      <c r="H7" s="18" t="s">
        <v>38</v>
      </c>
      <c r="I7" s="18" t="s">
        <v>49</v>
      </c>
      <c r="J7" s="18" t="s">
        <v>55</v>
      </c>
      <c r="K7" s="18" t="s">
        <v>63</v>
      </c>
      <c r="L7" s="18" t="s">
        <v>71</v>
      </c>
      <c r="M7" s="18" t="s">
        <v>72</v>
      </c>
      <c r="N7" s="18" t="s">
        <v>66</v>
      </c>
      <c r="O7" s="18" t="s">
        <v>73</v>
      </c>
      <c r="P7" s="18" t="s">
        <v>176</v>
      </c>
    </row>
    <row r="8" spans="1:16" ht="39.950000000000003" customHeight="1" x14ac:dyDescent="0.15">
      <c r="A8" s="17">
        <v>3</v>
      </c>
      <c r="B8" s="18" t="s">
        <v>74</v>
      </c>
      <c r="C8" s="18" t="s">
        <v>75</v>
      </c>
      <c r="D8" s="19">
        <v>44497</v>
      </c>
      <c r="E8" s="18">
        <v>2021</v>
      </c>
      <c r="F8" s="18">
        <v>1</v>
      </c>
      <c r="G8" s="18" t="s">
        <v>37</v>
      </c>
      <c r="H8" s="18" t="s">
        <v>38</v>
      </c>
      <c r="I8" s="18" t="s">
        <v>51</v>
      </c>
      <c r="J8" s="18" t="s">
        <v>55</v>
      </c>
      <c r="K8" s="18" t="s">
        <v>63</v>
      </c>
      <c r="L8" s="18" t="s">
        <v>76</v>
      </c>
      <c r="M8" s="18" t="s">
        <v>77</v>
      </c>
      <c r="N8" s="18" t="s">
        <v>66</v>
      </c>
      <c r="O8" s="18" t="s">
        <v>78</v>
      </c>
      <c r="P8" s="18" t="s">
        <v>176</v>
      </c>
    </row>
    <row r="9" spans="1:16" ht="39.950000000000003" customHeight="1" x14ac:dyDescent="0.15">
      <c r="A9" s="17">
        <v>4</v>
      </c>
      <c r="B9" s="18" t="s">
        <v>79</v>
      </c>
      <c r="C9" s="18" t="s">
        <v>80</v>
      </c>
      <c r="D9" s="19">
        <v>44712</v>
      </c>
      <c r="E9" s="18">
        <v>2022</v>
      </c>
      <c r="F9" s="18">
        <v>1</v>
      </c>
      <c r="G9" s="18" t="s">
        <v>37</v>
      </c>
      <c r="H9" s="18" t="s">
        <v>38</v>
      </c>
      <c r="I9" s="18" t="s">
        <v>50</v>
      </c>
      <c r="J9" s="18" t="s">
        <v>55</v>
      </c>
      <c r="K9" s="18" t="s">
        <v>63</v>
      </c>
      <c r="L9" s="18" t="s">
        <v>81</v>
      </c>
      <c r="M9" s="18" t="s">
        <v>82</v>
      </c>
      <c r="N9" s="18" t="s">
        <v>66</v>
      </c>
      <c r="O9" s="18" t="s">
        <v>83</v>
      </c>
      <c r="P9" s="18" t="s">
        <v>176</v>
      </c>
    </row>
    <row r="10" spans="1:16" ht="39.950000000000003" customHeight="1" x14ac:dyDescent="0.15">
      <c r="A10" s="17">
        <v>5</v>
      </c>
      <c r="B10" s="18" t="s">
        <v>84</v>
      </c>
      <c r="C10" s="18" t="s">
        <v>85</v>
      </c>
      <c r="D10" s="19">
        <v>44715</v>
      </c>
      <c r="E10" s="18">
        <v>2022</v>
      </c>
      <c r="F10" s="18">
        <v>1</v>
      </c>
      <c r="G10" s="18" t="s">
        <v>37</v>
      </c>
      <c r="H10" s="18" t="s">
        <v>38</v>
      </c>
      <c r="I10" s="18" t="s">
        <v>51</v>
      </c>
      <c r="J10" s="18" t="s">
        <v>55</v>
      </c>
      <c r="K10" s="18" t="s">
        <v>63</v>
      </c>
      <c r="L10" s="18" t="s">
        <v>86</v>
      </c>
      <c r="M10" s="18" t="s">
        <v>87</v>
      </c>
      <c r="N10" s="18" t="s">
        <v>66</v>
      </c>
      <c r="O10" s="18" t="s">
        <v>83</v>
      </c>
      <c r="P10" s="18" t="s">
        <v>176</v>
      </c>
    </row>
    <row r="11" spans="1:16" ht="39.950000000000003" customHeight="1" x14ac:dyDescent="0.15">
      <c r="A11" s="17">
        <v>6</v>
      </c>
      <c r="B11" s="18" t="s">
        <v>88</v>
      </c>
      <c r="C11" s="18" t="s">
        <v>94</v>
      </c>
      <c r="D11" s="19">
        <v>44795</v>
      </c>
      <c r="E11" s="18">
        <v>2022</v>
      </c>
      <c r="F11" s="18">
        <v>1</v>
      </c>
      <c r="G11" s="18" t="s">
        <v>37</v>
      </c>
      <c r="H11" s="18" t="s">
        <v>38</v>
      </c>
      <c r="I11" s="18" t="s">
        <v>51</v>
      </c>
      <c r="J11" s="18" t="s">
        <v>55</v>
      </c>
      <c r="K11" s="18" t="s">
        <v>63</v>
      </c>
      <c r="L11" s="18" t="s">
        <v>90</v>
      </c>
      <c r="M11" s="18" t="s">
        <v>91</v>
      </c>
      <c r="N11" s="18" t="s">
        <v>66</v>
      </c>
      <c r="O11" s="18" t="s">
        <v>92</v>
      </c>
      <c r="P11" s="18" t="s">
        <v>176</v>
      </c>
    </row>
    <row r="12" spans="1:16" ht="39.950000000000003" customHeight="1" x14ac:dyDescent="0.15">
      <c r="A12" s="17">
        <v>7</v>
      </c>
      <c r="B12" s="18" t="s">
        <v>93</v>
      </c>
      <c r="C12" s="18" t="s">
        <v>89</v>
      </c>
      <c r="D12" s="18">
        <v>2022</v>
      </c>
      <c r="E12" s="18">
        <v>2022</v>
      </c>
      <c r="F12" s="18">
        <v>2</v>
      </c>
      <c r="G12" s="18" t="s">
        <v>57</v>
      </c>
      <c r="H12" s="18" t="s">
        <v>38</v>
      </c>
      <c r="I12" s="18" t="s">
        <v>51</v>
      </c>
      <c r="J12" s="18" t="s">
        <v>55</v>
      </c>
      <c r="K12" s="18" t="s">
        <v>63</v>
      </c>
      <c r="L12" s="18" t="s">
        <v>95</v>
      </c>
      <c r="M12" s="18" t="s">
        <v>96</v>
      </c>
      <c r="N12" s="18" t="s">
        <v>66</v>
      </c>
      <c r="O12" s="18" t="s">
        <v>97</v>
      </c>
      <c r="P12" s="18" t="s">
        <v>176</v>
      </c>
    </row>
    <row r="13" spans="1:16" ht="39.950000000000003" customHeight="1" x14ac:dyDescent="0.15">
      <c r="A13" s="17">
        <v>8</v>
      </c>
      <c r="B13" s="18" t="s">
        <v>98</v>
      </c>
      <c r="C13" s="18" t="s">
        <v>99</v>
      </c>
      <c r="D13" s="19">
        <v>44824</v>
      </c>
      <c r="E13" s="18">
        <v>2022</v>
      </c>
      <c r="F13" s="18">
        <v>1</v>
      </c>
      <c r="G13" s="18" t="s">
        <v>37</v>
      </c>
      <c r="H13" s="18" t="s">
        <v>38</v>
      </c>
      <c r="I13" s="18" t="s">
        <v>51</v>
      </c>
      <c r="J13" s="18" t="s">
        <v>55</v>
      </c>
      <c r="K13" s="18" t="s">
        <v>63</v>
      </c>
      <c r="L13" s="18" t="s">
        <v>100</v>
      </c>
      <c r="M13" s="18" t="s">
        <v>101</v>
      </c>
      <c r="N13" s="18" t="s">
        <v>102</v>
      </c>
      <c r="O13" s="18" t="s">
        <v>103</v>
      </c>
      <c r="P13" s="18" t="s">
        <v>176</v>
      </c>
    </row>
    <row r="14" spans="1:16" ht="39.950000000000003" customHeight="1" x14ac:dyDescent="0.15">
      <c r="A14" s="17">
        <v>9</v>
      </c>
      <c r="B14" s="18" t="s">
        <v>104</v>
      </c>
      <c r="C14" s="18" t="s">
        <v>105</v>
      </c>
      <c r="D14" s="18">
        <v>2023</v>
      </c>
      <c r="E14" s="18">
        <v>2023</v>
      </c>
      <c r="F14" s="18">
        <v>2</v>
      </c>
      <c r="G14" s="18" t="s">
        <v>57</v>
      </c>
      <c r="H14" s="18" t="s">
        <v>38</v>
      </c>
      <c r="I14" s="18" t="s">
        <v>39</v>
      </c>
      <c r="J14" s="18" t="s">
        <v>38</v>
      </c>
      <c r="K14" s="18" t="s">
        <v>63</v>
      </c>
      <c r="L14" s="18" t="s">
        <v>106</v>
      </c>
      <c r="M14" s="18" t="s">
        <v>107</v>
      </c>
      <c r="N14" s="18" t="s">
        <v>108</v>
      </c>
      <c r="O14" s="18" t="s">
        <v>109</v>
      </c>
      <c r="P14" s="18" t="s">
        <v>176</v>
      </c>
    </row>
    <row r="15" spans="1:16" ht="39.950000000000003" customHeight="1" x14ac:dyDescent="0.15">
      <c r="A15" s="17">
        <v>10</v>
      </c>
      <c r="B15" s="18" t="s">
        <v>110</v>
      </c>
      <c r="C15" s="18" t="s">
        <v>111</v>
      </c>
      <c r="D15" s="19">
        <v>45173</v>
      </c>
      <c r="E15" s="18">
        <v>2023</v>
      </c>
      <c r="F15" s="18">
        <v>1</v>
      </c>
      <c r="G15" s="18" t="s">
        <v>37</v>
      </c>
      <c r="H15" s="18" t="s">
        <v>38</v>
      </c>
      <c r="I15" s="18" t="s">
        <v>39</v>
      </c>
      <c r="J15" s="18" t="s">
        <v>38</v>
      </c>
      <c r="K15" s="18" t="s">
        <v>63</v>
      </c>
      <c r="L15" s="18" t="s">
        <v>112</v>
      </c>
      <c r="M15" s="18" t="s">
        <v>113</v>
      </c>
      <c r="N15" s="18" t="s">
        <v>114</v>
      </c>
      <c r="O15" s="18" t="s">
        <v>115</v>
      </c>
      <c r="P15" s="18" t="s">
        <v>176</v>
      </c>
    </row>
    <row r="16" spans="1:16" ht="39.950000000000003" customHeight="1" x14ac:dyDescent="0.15">
      <c r="A16" s="17">
        <v>11</v>
      </c>
      <c r="B16" s="18" t="s">
        <v>116</v>
      </c>
      <c r="C16" s="18" t="s">
        <v>117</v>
      </c>
      <c r="D16" s="19">
        <v>45638</v>
      </c>
      <c r="E16" s="18">
        <v>2024</v>
      </c>
      <c r="F16" s="18">
        <v>1</v>
      </c>
      <c r="G16" s="18" t="s">
        <v>37</v>
      </c>
      <c r="H16" s="18" t="s">
        <v>38</v>
      </c>
      <c r="I16" s="18" t="s">
        <v>51</v>
      </c>
      <c r="J16" s="18" t="s">
        <v>55</v>
      </c>
      <c r="K16" s="18" t="s">
        <v>63</v>
      </c>
      <c r="L16" s="18" t="s">
        <v>118</v>
      </c>
      <c r="M16" s="18" t="s">
        <v>119</v>
      </c>
      <c r="N16" s="18" t="s">
        <v>120</v>
      </c>
      <c r="O16" s="18" t="s">
        <v>121</v>
      </c>
      <c r="P16" s="18" t="s">
        <v>176</v>
      </c>
    </row>
    <row r="17" spans="1:16" ht="39.950000000000003" customHeight="1" x14ac:dyDescent="0.15">
      <c r="A17" s="17">
        <v>12</v>
      </c>
      <c r="B17" s="18" t="s">
        <v>122</v>
      </c>
      <c r="C17" s="18" t="s">
        <v>123</v>
      </c>
      <c r="D17" s="19">
        <v>45483</v>
      </c>
      <c r="E17" s="18">
        <v>2024</v>
      </c>
      <c r="F17" s="18">
        <v>2</v>
      </c>
      <c r="G17" s="18" t="s">
        <v>37</v>
      </c>
      <c r="H17" s="18" t="s">
        <v>38</v>
      </c>
      <c r="I17" s="18" t="s">
        <v>39</v>
      </c>
      <c r="J17" s="18" t="s">
        <v>38</v>
      </c>
      <c r="K17" s="18" t="s">
        <v>63</v>
      </c>
      <c r="L17" s="18" t="s">
        <v>124</v>
      </c>
      <c r="M17" s="18" t="s">
        <v>125</v>
      </c>
      <c r="N17" s="18" t="s">
        <v>126</v>
      </c>
      <c r="O17" s="18" t="s">
        <v>127</v>
      </c>
      <c r="P17" s="18" t="s">
        <v>176</v>
      </c>
    </row>
    <row r="18" spans="1:16" ht="39.950000000000003" customHeight="1" x14ac:dyDescent="0.15">
      <c r="A18" s="17">
        <v>13</v>
      </c>
      <c r="B18" s="18" t="s">
        <v>128</v>
      </c>
      <c r="C18" s="18" t="s">
        <v>129</v>
      </c>
      <c r="D18" s="19">
        <v>45481</v>
      </c>
      <c r="E18" s="18">
        <v>2024</v>
      </c>
      <c r="F18" s="18">
        <v>2</v>
      </c>
      <c r="G18" s="18" t="s">
        <v>57</v>
      </c>
      <c r="H18" s="18" t="s">
        <v>38</v>
      </c>
      <c r="I18" s="18" t="s">
        <v>51</v>
      </c>
      <c r="J18" s="18" t="s">
        <v>55</v>
      </c>
      <c r="K18" s="18" t="s">
        <v>63</v>
      </c>
      <c r="L18" s="18" t="s">
        <v>130</v>
      </c>
      <c r="M18" s="18" t="s">
        <v>131</v>
      </c>
      <c r="N18" s="18" t="s">
        <v>132</v>
      </c>
      <c r="O18" s="18" t="s">
        <v>133</v>
      </c>
      <c r="P18" s="18" t="s">
        <v>176</v>
      </c>
    </row>
    <row r="19" spans="1:16" ht="39.950000000000003" customHeight="1" x14ac:dyDescent="0.15">
      <c r="A19" s="17">
        <v>14</v>
      </c>
      <c r="B19" s="18" t="s">
        <v>134</v>
      </c>
      <c r="C19" s="18" t="s">
        <v>135</v>
      </c>
      <c r="D19" s="19">
        <v>45558</v>
      </c>
      <c r="E19" s="18">
        <v>2024</v>
      </c>
      <c r="F19" s="18">
        <v>2</v>
      </c>
      <c r="G19" s="18" t="s">
        <v>37</v>
      </c>
      <c r="H19" s="18" t="s">
        <v>38</v>
      </c>
      <c r="I19" s="18" t="s">
        <v>51</v>
      </c>
      <c r="J19" s="18" t="s">
        <v>55</v>
      </c>
      <c r="K19" s="18" t="s">
        <v>63</v>
      </c>
      <c r="L19" s="18" t="s">
        <v>136</v>
      </c>
      <c r="M19" s="18" t="s">
        <v>137</v>
      </c>
      <c r="N19" s="18" t="s">
        <v>132</v>
      </c>
      <c r="O19" s="18" t="s">
        <v>138</v>
      </c>
      <c r="P19" s="18" t="s">
        <v>176</v>
      </c>
    </row>
    <row r="20" spans="1:16" ht="39.950000000000003" customHeight="1" x14ac:dyDescent="0.15">
      <c r="A20" s="17">
        <v>15</v>
      </c>
      <c r="B20" s="18" t="s">
        <v>139</v>
      </c>
      <c r="C20" s="18" t="s">
        <v>140</v>
      </c>
      <c r="D20" s="19">
        <v>45630</v>
      </c>
      <c r="E20" s="18">
        <v>2024</v>
      </c>
      <c r="F20" s="18">
        <v>2</v>
      </c>
      <c r="G20" s="18" t="s">
        <v>58</v>
      </c>
      <c r="H20" s="18" t="s">
        <v>38</v>
      </c>
      <c r="I20" s="18" t="s">
        <v>51</v>
      </c>
      <c r="J20" s="18" t="s">
        <v>55</v>
      </c>
      <c r="K20" s="18" t="s">
        <v>63</v>
      </c>
      <c r="L20" s="18" t="s">
        <v>141</v>
      </c>
      <c r="M20" s="18" t="s">
        <v>142</v>
      </c>
      <c r="N20" s="18" t="s">
        <v>132</v>
      </c>
      <c r="O20" s="18" t="s">
        <v>143</v>
      </c>
      <c r="P20" s="18" t="s">
        <v>176</v>
      </c>
    </row>
    <row r="21" spans="1:16" ht="39.950000000000003" customHeight="1" x14ac:dyDescent="0.15">
      <c r="A21" s="17">
        <v>16</v>
      </c>
      <c r="B21" s="18" t="s">
        <v>144</v>
      </c>
      <c r="C21" s="18" t="s">
        <v>145</v>
      </c>
      <c r="D21" s="19">
        <v>45667</v>
      </c>
      <c r="E21" s="18">
        <v>2025</v>
      </c>
      <c r="F21" s="18">
        <v>2</v>
      </c>
      <c r="G21" s="18" t="s">
        <v>37</v>
      </c>
      <c r="H21" s="18" t="s">
        <v>38</v>
      </c>
      <c r="I21" s="18" t="s">
        <v>39</v>
      </c>
      <c r="J21" s="18" t="s">
        <v>38</v>
      </c>
      <c r="K21" s="18" t="s">
        <v>63</v>
      </c>
      <c r="L21" s="18" t="s">
        <v>146</v>
      </c>
      <c r="M21" s="18" t="s">
        <v>147</v>
      </c>
      <c r="N21" s="18" t="s">
        <v>148</v>
      </c>
      <c r="O21" s="18" t="s">
        <v>149</v>
      </c>
      <c r="P21" s="18" t="s">
        <v>176</v>
      </c>
    </row>
    <row r="22" spans="1:16" ht="39.950000000000003" customHeight="1" x14ac:dyDescent="0.15">
      <c r="A22" s="17">
        <v>17</v>
      </c>
      <c r="B22" s="18" t="s">
        <v>150</v>
      </c>
      <c r="C22" s="18" t="s">
        <v>151</v>
      </c>
      <c r="D22" s="18" t="s">
        <v>158</v>
      </c>
      <c r="E22" s="18">
        <v>2025</v>
      </c>
      <c r="F22" s="18">
        <v>2</v>
      </c>
      <c r="G22" s="18" t="s">
        <v>57</v>
      </c>
      <c r="H22" s="18" t="s">
        <v>51</v>
      </c>
      <c r="I22" s="18" t="s">
        <v>51</v>
      </c>
      <c r="J22" s="18" t="s">
        <v>55</v>
      </c>
      <c r="K22" s="18" t="s">
        <v>63</v>
      </c>
      <c r="L22" s="18" t="s">
        <v>163</v>
      </c>
      <c r="M22" s="18" t="s">
        <v>167</v>
      </c>
      <c r="N22" s="18" t="s">
        <v>132</v>
      </c>
      <c r="O22" s="18" t="s">
        <v>172</v>
      </c>
      <c r="P22" s="18" t="s">
        <v>176</v>
      </c>
    </row>
    <row r="23" spans="1:16" ht="39.950000000000003" customHeight="1" x14ac:dyDescent="0.15">
      <c r="A23" s="17">
        <v>18</v>
      </c>
      <c r="B23" s="18" t="s">
        <v>152</v>
      </c>
      <c r="C23" s="18" t="s">
        <v>155</v>
      </c>
      <c r="D23" s="18" t="s">
        <v>159</v>
      </c>
      <c r="E23" s="18">
        <v>2026</v>
      </c>
      <c r="F23" s="18">
        <v>2</v>
      </c>
      <c r="G23" s="18" t="s">
        <v>58</v>
      </c>
      <c r="H23" s="18" t="s">
        <v>51</v>
      </c>
      <c r="I23" s="18" t="s">
        <v>51</v>
      </c>
      <c r="J23" s="18" t="s">
        <v>55</v>
      </c>
      <c r="K23" s="18" t="s">
        <v>63</v>
      </c>
      <c r="L23" s="18" t="s">
        <v>164</v>
      </c>
      <c r="M23" s="18" t="s">
        <v>168</v>
      </c>
      <c r="N23" s="18" t="s">
        <v>132</v>
      </c>
      <c r="O23" s="18" t="s">
        <v>173</v>
      </c>
      <c r="P23" s="18" t="s">
        <v>176</v>
      </c>
    </row>
    <row r="24" spans="1:16" ht="39.950000000000003" customHeight="1" x14ac:dyDescent="0.15">
      <c r="A24" s="17">
        <v>19</v>
      </c>
      <c r="B24" s="18" t="s">
        <v>153</v>
      </c>
      <c r="C24" s="18" t="s">
        <v>156</v>
      </c>
      <c r="D24" s="18" t="s">
        <v>160</v>
      </c>
      <c r="E24" s="18">
        <v>2026</v>
      </c>
      <c r="F24" s="18">
        <v>2</v>
      </c>
      <c r="G24" s="18" t="s">
        <v>57</v>
      </c>
      <c r="H24" s="18" t="s">
        <v>51</v>
      </c>
      <c r="I24" s="18" t="s">
        <v>51</v>
      </c>
      <c r="J24" s="18" t="s">
        <v>55</v>
      </c>
      <c r="K24" s="18" t="s">
        <v>63</v>
      </c>
      <c r="L24" s="18" t="s">
        <v>165</v>
      </c>
      <c r="M24" s="18" t="s">
        <v>169</v>
      </c>
      <c r="N24" s="18" t="s">
        <v>171</v>
      </c>
      <c r="O24" s="18" t="s">
        <v>174</v>
      </c>
      <c r="P24" s="18" t="s">
        <v>176</v>
      </c>
    </row>
    <row r="25" spans="1:16" ht="39.950000000000003" customHeight="1" x14ac:dyDescent="0.15">
      <c r="A25" s="17">
        <v>20</v>
      </c>
      <c r="B25" s="18" t="s">
        <v>154</v>
      </c>
      <c r="C25" s="18" t="s">
        <v>157</v>
      </c>
      <c r="D25" s="18" t="s">
        <v>161</v>
      </c>
      <c r="E25" s="18">
        <v>2026</v>
      </c>
      <c r="F25" s="18">
        <v>2</v>
      </c>
      <c r="G25" s="18" t="s">
        <v>37</v>
      </c>
      <c r="H25" s="18" t="s">
        <v>51</v>
      </c>
      <c r="I25" s="18" t="s">
        <v>162</v>
      </c>
      <c r="J25" s="18" t="s">
        <v>55</v>
      </c>
      <c r="K25" s="18" t="s">
        <v>63</v>
      </c>
      <c r="L25" s="18" t="s">
        <v>166</v>
      </c>
      <c r="M25" s="18" t="s">
        <v>170</v>
      </c>
      <c r="N25" s="18" t="s">
        <v>132</v>
      </c>
      <c r="O25" s="18" t="s">
        <v>175</v>
      </c>
      <c r="P25" s="18" t="s">
        <v>176</v>
      </c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abSelected="1" workbookViewId="0">
      <selection activeCell="E17" sqref="E17"/>
    </sheetView>
  </sheetViews>
  <sheetFormatPr defaultColWidth="8.875" defaultRowHeight="14.25" x14ac:dyDescent="0.15"/>
  <cols>
    <col min="1" max="1" width="25.9609375" style="10" customWidth="1"/>
    <col min="2" max="2" width="11.97265625" style="10" customWidth="1"/>
    <col min="3" max="16384" width="8.875" style="10"/>
  </cols>
  <sheetData>
    <row r="1" spans="1:2" x14ac:dyDescent="0.15">
      <c r="A1" s="9" t="s">
        <v>46</v>
      </c>
    </row>
    <row r="2" spans="1:2" x14ac:dyDescent="0.15">
      <c r="A2" s="14" t="s">
        <v>47</v>
      </c>
    </row>
    <row r="4" spans="1:2" x14ac:dyDescent="0.15">
      <c r="A4" s="20" t="s">
        <v>21</v>
      </c>
      <c r="B4" s="20" t="s">
        <v>48</v>
      </c>
    </row>
    <row r="5" spans="1:2" x14ac:dyDescent="0.15">
      <c r="A5" s="17">
        <v>2021</v>
      </c>
      <c r="B5" s="17">
        <f>COUNTIF(Data!E$6:E$25,A5)</f>
        <v>3</v>
      </c>
    </row>
    <row r="6" spans="1:2" x14ac:dyDescent="0.15">
      <c r="A6" s="17">
        <v>2022</v>
      </c>
      <c r="B6" s="17">
        <f>COUNTIF(Data!E$6:E$25,A6)</f>
        <v>5</v>
      </c>
    </row>
    <row r="7" spans="1:2" x14ac:dyDescent="0.15">
      <c r="A7" s="17">
        <v>2023</v>
      </c>
      <c r="B7" s="17">
        <f>COUNTIF(Data!E$6:E$25,A7)</f>
        <v>2</v>
      </c>
    </row>
    <row r="8" spans="1:2" x14ac:dyDescent="0.15">
      <c r="A8" s="17">
        <v>2024</v>
      </c>
      <c r="B8" s="17">
        <f>COUNTIF(Data!E$6:E$25,A8)</f>
        <v>5</v>
      </c>
    </row>
    <row r="9" spans="1:2" x14ac:dyDescent="0.15">
      <c r="A9" s="17">
        <v>2025</v>
      </c>
      <c r="B9" s="17">
        <f>COUNTIF(Data!E$6:E$25,A9)</f>
        <v>2</v>
      </c>
    </row>
    <row r="10" spans="1:2" x14ac:dyDescent="0.15">
      <c r="A10" s="17">
        <v>2026</v>
      </c>
      <c r="B10" s="17">
        <f>COUNTIF(Data!E$6:E$25,A10)</f>
        <v>3</v>
      </c>
    </row>
    <row r="12" spans="1:2" x14ac:dyDescent="0.15">
      <c r="A12" s="20" t="s">
        <v>25</v>
      </c>
      <c r="B12" s="20" t="s">
        <v>48</v>
      </c>
    </row>
    <row r="13" spans="1:2" x14ac:dyDescent="0.15">
      <c r="A13" s="17" t="s">
        <v>39</v>
      </c>
      <c r="B13" s="17">
        <f>COUNTIF(Data!I$6:I$25,A13)</f>
        <v>4</v>
      </c>
    </row>
    <row r="14" spans="1:2" x14ac:dyDescent="0.15">
      <c r="A14" s="17" t="s">
        <v>49</v>
      </c>
      <c r="B14" s="17">
        <f>COUNTIF(Data!I$6:I$25,A14)</f>
        <v>1</v>
      </c>
    </row>
    <row r="15" spans="1:2" x14ac:dyDescent="0.15">
      <c r="A15" s="17" t="s">
        <v>50</v>
      </c>
      <c r="B15" s="17">
        <f>COUNTIF(Data!I$6:I$25,A15)</f>
        <v>3</v>
      </c>
    </row>
    <row r="16" spans="1:2" x14ac:dyDescent="0.15">
      <c r="A16" s="17" t="s">
        <v>51</v>
      </c>
      <c r="B16" s="17">
        <f>COUNTIF(Data!I$6:I$25,A16)</f>
        <v>12</v>
      </c>
    </row>
    <row r="18" spans="1:2" x14ac:dyDescent="0.15">
      <c r="A18" s="20" t="s">
        <v>24</v>
      </c>
      <c r="B18" s="20" t="s">
        <v>48</v>
      </c>
    </row>
    <row r="19" spans="1:2" x14ac:dyDescent="0.15">
      <c r="A19" s="17" t="s">
        <v>38</v>
      </c>
      <c r="B19" s="17">
        <f>COUNTIF(Data!H$6:H$25,A19)</f>
        <v>16</v>
      </c>
    </row>
    <row r="20" spans="1:2" x14ac:dyDescent="0.15">
      <c r="A20" s="17" t="s">
        <v>52</v>
      </c>
      <c r="B20" s="17">
        <f>COUNTIF(Data!H$6:H$25,A20)</f>
        <v>0</v>
      </c>
    </row>
    <row r="21" spans="1:2" x14ac:dyDescent="0.15">
      <c r="A21" s="17" t="s">
        <v>53</v>
      </c>
      <c r="B21" s="17">
        <f>COUNTIF(Data!H$6:H$25,A21)</f>
        <v>0</v>
      </c>
    </row>
    <row r="22" spans="1:2" x14ac:dyDescent="0.15">
      <c r="A22" s="17" t="s">
        <v>54</v>
      </c>
      <c r="B22" s="17">
        <f>COUNTIF(Data!H$6:H$25,A22)</f>
        <v>0</v>
      </c>
    </row>
    <row r="23" spans="1:2" x14ac:dyDescent="0.15">
      <c r="A23" s="17" t="s">
        <v>51</v>
      </c>
      <c r="B23" s="17">
        <f>COUNTIF(Data!H$6:H$25,A23)</f>
        <v>4</v>
      </c>
    </row>
    <row r="25" spans="1:2" x14ac:dyDescent="0.15">
      <c r="A25" s="20" t="s">
        <v>26</v>
      </c>
      <c r="B25" s="20" t="s">
        <v>48</v>
      </c>
    </row>
    <row r="26" spans="1:2" x14ac:dyDescent="0.15">
      <c r="A26" s="17" t="s">
        <v>38</v>
      </c>
      <c r="B26" s="17">
        <f>COUNTIF(Data!J$6:J$25,A26)</f>
        <v>4</v>
      </c>
    </row>
    <row r="27" spans="1:2" x14ac:dyDescent="0.15">
      <c r="A27" s="17" t="s">
        <v>52</v>
      </c>
      <c r="B27" s="17">
        <f>COUNTIF(Data!J$6:J$25,A27)</f>
        <v>0</v>
      </c>
    </row>
    <row r="28" spans="1:2" x14ac:dyDescent="0.15">
      <c r="A28" s="17" t="s">
        <v>53</v>
      </c>
      <c r="B28" s="17">
        <f>COUNTIF(Data!J$6:J$25,A28)</f>
        <v>0</v>
      </c>
    </row>
    <row r="29" spans="1:2" x14ac:dyDescent="0.15">
      <c r="A29" s="17" t="s">
        <v>54</v>
      </c>
      <c r="B29" s="17">
        <f>COUNTIF(Data!J$6:J$25,A29)</f>
        <v>0</v>
      </c>
    </row>
    <row r="30" spans="1:2" x14ac:dyDescent="0.15">
      <c r="A30" s="17" t="s">
        <v>55</v>
      </c>
      <c r="B30" s="17">
        <f>COUNTIF(Data!J$6:J$25,A30)</f>
        <v>16</v>
      </c>
    </row>
    <row r="32" spans="1:2" x14ac:dyDescent="0.15">
      <c r="A32" s="20" t="s">
        <v>23</v>
      </c>
      <c r="B32" s="20" t="s">
        <v>48</v>
      </c>
    </row>
    <row r="33" spans="1:2" x14ac:dyDescent="0.15">
      <c r="A33" s="17" t="s">
        <v>56</v>
      </c>
      <c r="B33" s="17">
        <f>COUNTIF(Data!G$6:G$25,A33)</f>
        <v>0</v>
      </c>
    </row>
    <row r="34" spans="1:2" x14ac:dyDescent="0.15">
      <c r="A34" s="17" t="s">
        <v>57</v>
      </c>
      <c r="B34" s="17">
        <f>COUNTIF(Data!G$6:G$25,A34)</f>
        <v>5</v>
      </c>
    </row>
    <row r="35" spans="1:2" x14ac:dyDescent="0.15">
      <c r="A35" s="17" t="s">
        <v>37</v>
      </c>
      <c r="B35" s="17">
        <f>COUNTIF(Data!G$6:G$25,A35)</f>
        <v>13</v>
      </c>
    </row>
    <row r="36" spans="1:2" x14ac:dyDescent="0.15">
      <c r="A36" s="17" t="s">
        <v>58</v>
      </c>
      <c r="B36" s="17">
        <f>COUNTIF(Data!G$6:G$25,A36)</f>
        <v>2</v>
      </c>
    </row>
    <row r="37" spans="1:2" x14ac:dyDescent="0.15">
      <c r="A37" s="17" t="s">
        <v>51</v>
      </c>
      <c r="B37" s="17">
        <f>COUNTIF(Data!G$6:G$25,A37)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ColWidth="8.875" defaultRowHeight="15" x14ac:dyDescent="0.2"/>
  <cols>
    <col min="1" max="4" width="25.9609375" customWidth="1"/>
  </cols>
  <sheetData>
    <row r="1" spans="1:4" x14ac:dyDescent="0.2">
      <c r="A1" s="6" t="s">
        <v>59</v>
      </c>
    </row>
    <row r="2" spans="1:4" x14ac:dyDescent="0.2">
      <c r="A2" s="7" t="s">
        <v>23</v>
      </c>
      <c r="B2" s="7" t="s">
        <v>24</v>
      </c>
      <c r="C2" s="7" t="s">
        <v>25</v>
      </c>
      <c r="D2" s="7" t="s">
        <v>26</v>
      </c>
    </row>
    <row r="3" spans="1:4" x14ac:dyDescent="0.2">
      <c r="A3" s="5" t="s">
        <v>56</v>
      </c>
      <c r="B3" s="5" t="s">
        <v>38</v>
      </c>
      <c r="C3" s="5" t="s">
        <v>39</v>
      </c>
      <c r="D3" s="5" t="s">
        <v>38</v>
      </c>
    </row>
    <row r="4" spans="1:4" x14ac:dyDescent="0.2">
      <c r="A4" s="5" t="s">
        <v>57</v>
      </c>
      <c r="B4" s="5" t="s">
        <v>52</v>
      </c>
      <c r="C4" s="5" t="s">
        <v>49</v>
      </c>
      <c r="D4" s="5" t="s">
        <v>52</v>
      </c>
    </row>
    <row r="5" spans="1:4" x14ac:dyDescent="0.2">
      <c r="A5" s="5" t="s">
        <v>37</v>
      </c>
      <c r="B5" s="5" t="s">
        <v>53</v>
      </c>
      <c r="C5" s="5" t="s">
        <v>50</v>
      </c>
      <c r="D5" s="5" t="s">
        <v>53</v>
      </c>
    </row>
    <row r="6" spans="1:4" x14ac:dyDescent="0.2">
      <c r="A6" s="5" t="s">
        <v>58</v>
      </c>
      <c r="B6" s="5" t="s">
        <v>54</v>
      </c>
      <c r="C6" s="5" t="s">
        <v>51</v>
      </c>
      <c r="D6" s="5" t="s">
        <v>54</v>
      </c>
    </row>
    <row r="7" spans="1:4" x14ac:dyDescent="0.2">
      <c r="A7" s="5" t="s">
        <v>51</v>
      </c>
      <c r="B7" s="5" t="s">
        <v>51</v>
      </c>
      <c r="D7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Raut</cp:lastModifiedBy>
  <dcterms:created xsi:type="dcterms:W3CDTF">2026-09-16T11:13:46Z</dcterms:created>
  <dcterms:modified xsi:type="dcterms:W3CDTF">2026-10-30T07:15:21Z</dcterms:modified>
</cp:coreProperties>
</file>